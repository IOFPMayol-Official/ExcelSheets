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jem\Documents\SAM BUSINESS\Sam Excel book\"/>
    </mc:Choice>
  </mc:AlternateContent>
  <bookViews>
    <workbookView xWindow="0" yWindow="0" windowWidth="15540" windowHeight="13550"/>
  </bookViews>
  <sheets>
    <sheet name="MonthlyExppenses&amp;Savings" sheetId="2" r:id="rId1"/>
    <sheet name="README" sheetId="1" r:id="rId2"/>
  </sheets>
  <externalReferences>
    <externalReference r:id="rId3"/>
  </externalReferences>
  <definedNames>
    <definedName name="GroceryExpenses">[1]Sheet9!$G$2:$G$7</definedName>
    <definedName name="RentAmount">[1]Sheet9!$B$2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F2" i="2"/>
  <c r="F17" i="2" s="1"/>
  <c r="G2" i="2"/>
  <c r="G17" i="2" s="1"/>
  <c r="H2" i="2"/>
  <c r="H17" i="2" s="1"/>
  <c r="I2" i="2"/>
  <c r="I17" i="2" s="1"/>
  <c r="J2" i="2"/>
  <c r="K2" i="2"/>
  <c r="L2" i="2"/>
  <c r="M2" i="2"/>
  <c r="B22" i="2"/>
  <c r="C22" i="2"/>
  <c r="D22" i="2"/>
  <c r="E22" i="2"/>
  <c r="F22" i="2"/>
  <c r="F11" i="2" s="1"/>
  <c r="F16" i="2" s="1"/>
  <c r="G22" i="2"/>
  <c r="G11" i="2" s="1"/>
  <c r="G16" i="2" s="1"/>
  <c r="H22" i="2"/>
  <c r="H11" i="2" s="1"/>
  <c r="H16" i="2" s="1"/>
  <c r="I22" i="2"/>
  <c r="I11" i="2" s="1"/>
  <c r="I16" i="2" s="1"/>
  <c r="J22" i="2"/>
  <c r="K22" i="2"/>
  <c r="L22" i="2"/>
  <c r="M22" i="2"/>
  <c r="B23" i="2"/>
  <c r="B11" i="2" s="1"/>
  <c r="B16" i="2" s="1"/>
  <c r="B17" i="2" s="1"/>
  <c r="C23" i="2"/>
  <c r="C11" i="2" s="1"/>
  <c r="C16" i="2" s="1"/>
  <c r="C17" i="2" s="1"/>
  <c r="D23" i="2"/>
  <c r="D11" i="2" s="1"/>
  <c r="D16" i="2" s="1"/>
  <c r="D17" i="2" s="1"/>
  <c r="E23" i="2"/>
  <c r="E11" i="2" s="1"/>
  <c r="E16" i="2" s="1"/>
  <c r="E17" i="2" s="1"/>
  <c r="F23" i="2"/>
  <c r="G23" i="2"/>
  <c r="H23" i="2"/>
  <c r="I23" i="2"/>
  <c r="J23" i="2"/>
  <c r="J11" i="2" s="1"/>
  <c r="J16" i="2" s="1"/>
  <c r="J17" i="2" s="1"/>
  <c r="K23" i="2"/>
  <c r="K11" i="2" s="1"/>
  <c r="K16" i="2" s="1"/>
  <c r="K17" i="2" s="1"/>
  <c r="L23" i="2"/>
  <c r="L11" i="2" s="1"/>
  <c r="L16" i="2" s="1"/>
  <c r="L17" i="2" s="1"/>
  <c r="M23" i="2"/>
  <c r="M11" i="2" s="1"/>
  <c r="M16" i="2" s="1"/>
  <c r="M17" i="2" s="1"/>
  <c r="B24" i="2"/>
  <c r="C24" i="2"/>
  <c r="D24" i="2"/>
  <c r="E24" i="2"/>
  <c r="F24" i="2"/>
  <c r="G24" i="2"/>
  <c r="H24" i="2"/>
  <c r="I24" i="2"/>
  <c r="J24" i="2"/>
  <c r="K24" i="2"/>
  <c r="L24" i="2"/>
  <c r="M24" i="2"/>
</calcChain>
</file>

<file path=xl/sharedStrings.xml><?xml version="1.0" encoding="utf-8"?>
<sst xmlns="http://schemas.openxmlformats.org/spreadsheetml/2006/main" count="44" uniqueCount="44">
  <si>
    <t>Other Income Sources: Part-Time Job, Third Paycheck, Bonus, Commission</t>
  </si>
  <si>
    <t>Donations / Other Income</t>
  </si>
  <si>
    <t>Donation (from Paycheck 2)</t>
  </si>
  <si>
    <t>Donation (from Paycheck 1)</t>
  </si>
  <si>
    <t>Net - Pay Check2</t>
  </si>
  <si>
    <t>Net - Pay Check1</t>
  </si>
  <si>
    <t>Leftover = (Salary + Other Income) – Expenses</t>
  </si>
  <si>
    <t>Total Expenses</t>
  </si>
  <si>
    <t>Credit Cards</t>
  </si>
  <si>
    <t>Entertainment</t>
  </si>
  <si>
    <t>Savings</t>
  </si>
  <si>
    <t>Personal Loan</t>
  </si>
  <si>
    <t>Total Donation</t>
  </si>
  <si>
    <t>Lunch</t>
  </si>
  <si>
    <t>Transportation</t>
  </si>
  <si>
    <t>Phone Bill / Internet</t>
  </si>
  <si>
    <t>Utilities (Gas and Electricity)</t>
  </si>
  <si>
    <t>Medical Insurance</t>
  </si>
  <si>
    <t>Rent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</si>
  <si>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</si>
  <si>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</si>
  <si>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</si>
  <si>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</si>
  <si>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</si>
  <si>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</si>
  <si>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</si>
  <si>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</si>
  <si>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</si>
  <si>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</si>
  <si>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</si>
  <si>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</si>
  <si>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2025 Expenses and Savings</t>
  </si>
  <si>
    <t>Net Salary:</t>
  </si>
  <si>
    <t>My Salary Distribution</t>
  </si>
  <si>
    <t>This example shows how easy it is to take control of your finances using clear, step-by-step techniques designed for beginners.</t>
  </si>
  <si>
    <t>If you’re looking for a fast, no-overwhelm way to learn spreadsheets and apply them to real life, this series is for you.</t>
  </si>
  <si>
    <r>
      <t xml:space="preserve">This is a sample from </t>
    </r>
    <r>
      <rPr>
        <i/>
        <sz val="16"/>
        <color theme="1"/>
        <rFont val="Goudy Old Style"/>
        <family val="1"/>
      </rPr>
      <t>Introduction to Excel and Google Sheets – In Only a Few Pages</t>
    </r>
    <r>
      <rPr>
        <sz val="16"/>
        <color theme="1"/>
        <rFont val="Goudy Old Style"/>
        <family val="1"/>
      </rPr>
      <t>.</t>
    </r>
  </si>
  <si>
    <r>
      <rPr>
        <sz val="16"/>
        <color theme="1"/>
        <rFont val="Goudy Old Style"/>
        <family val="1"/>
      </rPr>
      <t>Example</t>
    </r>
    <r>
      <rPr>
        <b/>
        <sz val="16"/>
        <color theme="1"/>
        <rFont val="Goudy Old Style"/>
        <family val="1"/>
      </rPr>
      <t xml:space="preserve"> "P3: Monthly Budget Planner</t>
    </r>
    <r>
      <rPr>
        <sz val="16"/>
        <color theme="1"/>
        <rFont val="Goudy Old Style"/>
        <family val="1"/>
      </rPr>
      <t>"</t>
    </r>
  </si>
  <si>
    <t>Learn how to organize your income, track expenses, and plan your savings; all in a simple, practical spreadsheet.</t>
  </si>
  <si>
    <t>If you find any printing mistakes or errors, please write to us at</t>
  </si>
  <si>
    <t>To explore more books and quick, practical guides, visit</t>
  </si>
  <si>
    <t>info@inonlyafewpages.com</t>
  </si>
  <si>
    <t>https://www.inonlyafewpages.com/</t>
  </si>
  <si>
    <t>and discover learning made simple in just a few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</si>
</sst>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rial Black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Goudy Old Style"/>
      <family val="1"/>
    </font>
    <font>
      <i/>
      <sz val="16"/>
      <color theme="1"/>
      <name val="Goudy Old Style"/>
      <family val="1"/>
    </font>
    <font>
      <b/>
      <sz val="16"/>
      <color theme="1"/>
      <name val="Goudy Old Style"/>
      <family val="1"/>
    </font>
    <font>
      <u/>
      <sz val="16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vertical="center"/>
    </xf>
    <xf numFmtId="8" fontId="0" fillId="3" borderId="1" xfId="0" applyNumberFormat="1" applyFill="1" applyBorder="1" applyAlignment="1">
      <alignment vertical="center"/>
    </xf>
    <xf numFmtId="8" fontId="0" fillId="3" borderId="2" xfId="0" applyNumberFormat="1" applyFill="1" applyBorder="1" applyAlignment="1">
      <alignment vertical="center"/>
    </xf>
    <xf numFmtId="8" fontId="0" fillId="3" borderId="3" xfId="0" applyNumberFormat="1" applyFill="1" applyBorder="1" applyAlignment="1">
      <alignment vertical="center"/>
    </xf>
    <xf numFmtId="8" fontId="0" fillId="0" borderId="4" xfId="0" applyNumberFormat="1" applyBorder="1" applyAlignment="1">
      <alignment vertical="center"/>
    </xf>
    <xf numFmtId="8" fontId="0" fillId="4" borderId="5" xfId="0" applyNumberFormat="1" applyFill="1" applyBorder="1" applyAlignment="1">
      <alignment vertical="center"/>
    </xf>
    <xf numFmtId="8" fontId="0" fillId="5" borderId="6" xfId="0" applyNumberFormat="1" applyFill="1" applyBorder="1" applyAlignment="1">
      <alignment vertical="center"/>
    </xf>
    <xf numFmtId="8" fontId="0" fillId="0" borderId="6" xfId="0" applyNumberFormat="1" applyBorder="1" applyAlignment="1">
      <alignment vertical="center"/>
    </xf>
    <xf numFmtId="8" fontId="0" fillId="3" borderId="6" xfId="0" applyNumberFormat="1" applyFill="1" applyBorder="1" applyAlignment="1">
      <alignment vertical="center"/>
    </xf>
    <xf numFmtId="8" fontId="0" fillId="0" borderId="1" xfId="0" applyNumberFormat="1" applyBorder="1" applyAlignment="1">
      <alignment vertical="center"/>
    </xf>
    <xf numFmtId="8" fontId="0" fillId="6" borderId="6" xfId="0" applyNumberForma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8" fontId="1" fillId="3" borderId="11" xfId="0" applyNumberFormat="1" applyFont="1" applyFill="1" applyBorder="1" applyAlignment="1">
      <alignment horizontal="right" vertical="center"/>
    </xf>
    <xf numFmtId="8" fontId="0" fillId="3" borderId="12" xfId="0" applyNumberFormat="1" applyFill="1" applyBorder="1" applyAlignment="1">
      <alignment vertical="center"/>
    </xf>
    <xf numFmtId="8" fontId="0" fillId="3" borderId="13" xfId="0" applyNumberFormat="1" applyFill="1" applyBorder="1" applyAlignment="1">
      <alignment vertical="center"/>
    </xf>
    <xf numFmtId="8" fontId="0" fillId="3" borderId="14" xfId="0" applyNumberFormat="1" applyFill="1" applyBorder="1" applyAlignment="1">
      <alignment vertical="center"/>
    </xf>
    <xf numFmtId="8" fontId="1" fillId="3" borderId="15" xfId="0" applyNumberFormat="1" applyFont="1" applyFill="1" applyBorder="1" applyAlignment="1">
      <alignment horizontal="right" vertical="center"/>
    </xf>
    <xf numFmtId="8" fontId="0" fillId="3" borderId="16" xfId="0" applyNumberFormat="1" applyFill="1" applyBorder="1" applyAlignment="1">
      <alignment vertical="center"/>
    </xf>
    <xf numFmtId="8" fontId="1" fillId="3" borderId="17" xfId="0" applyNumberFormat="1" applyFont="1" applyFill="1" applyBorder="1" applyAlignment="1">
      <alignment horizontal="right" vertical="center"/>
    </xf>
    <xf numFmtId="8" fontId="0" fillId="3" borderId="18" xfId="0" applyNumberFormat="1" applyFill="1" applyBorder="1" applyAlignment="1">
      <alignment vertical="center"/>
    </xf>
    <xf numFmtId="8" fontId="0" fillId="3" borderId="19" xfId="0" applyNumberFormat="1" applyFill="1" applyBorder="1" applyAlignment="1">
      <alignment vertical="center"/>
    </xf>
    <xf numFmtId="8" fontId="0" fillId="3" borderId="20" xfId="0" applyNumberFormat="1" applyFill="1" applyBorder="1" applyAlignment="1">
      <alignment vertical="center"/>
    </xf>
    <xf numFmtId="0" fontId="1" fillId="0" borderId="8" xfId="0" applyFont="1" applyBorder="1" applyAlignment="1">
      <alignment horizontal="left" vertical="center" wrapText="1"/>
    </xf>
    <xf numFmtId="8" fontId="0" fillId="2" borderId="21" xfId="0" applyNumberFormat="1" applyFill="1" applyBorder="1" applyAlignment="1">
      <alignment vertical="center"/>
    </xf>
    <xf numFmtId="8" fontId="0" fillId="2" borderId="22" xfId="0" applyNumberFormat="1" applyFill="1" applyBorder="1" applyAlignment="1">
      <alignment vertical="center"/>
    </xf>
    <xf numFmtId="8" fontId="1" fillId="2" borderId="22" xfId="0" applyNumberFormat="1" applyFont="1" applyFill="1" applyBorder="1" applyAlignment="1">
      <alignment vertical="center"/>
    </xf>
    <xf numFmtId="8" fontId="0" fillId="2" borderId="23" xfId="0" applyNumberFormat="1" applyFill="1" applyBorder="1" applyAlignment="1">
      <alignment vertical="center"/>
    </xf>
    <xf numFmtId="8" fontId="0" fillId="0" borderId="24" xfId="0" applyNumberFormat="1" applyBorder="1" applyAlignment="1">
      <alignment vertical="center"/>
    </xf>
    <xf numFmtId="8" fontId="0" fillId="0" borderId="25" xfId="0" applyNumberFormat="1" applyBorder="1" applyAlignment="1">
      <alignment vertical="center"/>
    </xf>
    <xf numFmtId="8" fontId="0" fillId="0" borderId="26" xfId="0" applyNumberFormat="1" applyBorder="1" applyAlignment="1">
      <alignment vertical="center"/>
    </xf>
    <xf numFmtId="8" fontId="0" fillId="0" borderId="18" xfId="0" applyNumberFormat="1" applyBorder="1" applyAlignment="1">
      <alignment vertical="center"/>
    </xf>
    <xf numFmtId="8" fontId="0" fillId="0" borderId="19" xfId="0" applyNumberFormat="1" applyBorder="1" applyAlignment="1">
      <alignment vertical="center"/>
    </xf>
    <xf numFmtId="8" fontId="0" fillId="0" borderId="20" xfId="0" applyNumberFormat="1" applyBorder="1" applyAlignment="1">
      <alignment vertical="center"/>
    </xf>
    <xf numFmtId="164" fontId="1" fillId="3" borderId="27" xfId="0" applyNumberFormat="1" applyFont="1" applyFill="1" applyBorder="1" applyAlignment="1">
      <alignment horizontal="right" vertical="center"/>
    </xf>
    <xf numFmtId="0" fontId="0" fillId="0" borderId="28" xfId="0" applyBorder="1" applyAlignment="1">
      <alignment horizontal="right"/>
    </xf>
    <xf numFmtId="0" fontId="7" fillId="0" borderId="29" xfId="0" applyFont="1" applyBorder="1" applyAlignment="1">
      <alignment horizontal="right"/>
    </xf>
    <xf numFmtId="0" fontId="7" fillId="0" borderId="30" xfId="0" applyFont="1" applyBorder="1" applyAlignment="1">
      <alignment horizontal="right"/>
    </xf>
    <xf numFmtId="8" fontId="1" fillId="3" borderId="31" xfId="0" applyNumberFormat="1" applyFont="1" applyFill="1" applyBorder="1" applyAlignment="1">
      <alignment horizontal="right" vertical="center"/>
    </xf>
    <xf numFmtId="8" fontId="1" fillId="3" borderId="7" xfId="0" applyNumberFormat="1" applyFont="1" applyFill="1" applyBorder="1" applyAlignment="1">
      <alignment horizontal="right" vertical="center" wrapText="1"/>
    </xf>
    <xf numFmtId="164" fontId="0" fillId="3" borderId="32" xfId="0" applyNumberFormat="1" applyFill="1" applyBorder="1" applyAlignment="1">
      <alignment vertical="center"/>
    </xf>
    <xf numFmtId="164" fontId="0" fillId="3" borderId="25" xfId="0" applyNumberFormat="1" applyFill="1" applyBorder="1" applyAlignment="1">
      <alignment vertical="center"/>
    </xf>
    <xf numFmtId="164" fontId="0" fillId="3" borderId="26" xfId="0" applyNumberFormat="1" applyFill="1" applyBorder="1" applyAlignment="1">
      <alignment vertical="center"/>
    </xf>
    <xf numFmtId="0" fontId="4" fillId="8" borderId="33" xfId="0" applyFont="1" applyFill="1" applyBorder="1" applyAlignment="1">
      <alignment horizontal="center"/>
    </xf>
    <xf numFmtId="0" fontId="4" fillId="8" borderId="34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8" fontId="0" fillId="0" borderId="15" xfId="0" applyNumberFormat="1" applyBorder="1" applyAlignment="1">
      <alignment vertical="center"/>
    </xf>
    <xf numFmtId="8" fontId="0" fillId="0" borderId="35" xfId="0" applyNumberFormat="1" applyBorder="1" applyAlignment="1">
      <alignment vertical="center"/>
    </xf>
    <xf numFmtId="8" fontId="0" fillId="6" borderId="15" xfId="0" applyNumberFormat="1" applyFill="1" applyBorder="1" applyAlignment="1">
      <alignment vertical="center"/>
    </xf>
    <xf numFmtId="8" fontId="0" fillId="6" borderId="35" xfId="0" applyNumberFormat="1" applyFill="1" applyBorder="1" applyAlignment="1">
      <alignment vertical="center"/>
    </xf>
    <xf numFmtId="8" fontId="0" fillId="0" borderId="16" xfId="0" applyNumberFormat="1" applyBorder="1" applyAlignment="1">
      <alignment vertical="center"/>
    </xf>
    <xf numFmtId="8" fontId="0" fillId="3" borderId="15" xfId="0" applyNumberFormat="1" applyFill="1" applyBorder="1" applyAlignment="1">
      <alignment vertical="center"/>
    </xf>
    <xf numFmtId="8" fontId="0" fillId="3" borderId="35" xfId="0" applyNumberFormat="1" applyFill="1" applyBorder="1" applyAlignment="1">
      <alignment vertical="center"/>
    </xf>
    <xf numFmtId="8" fontId="0" fillId="5" borderId="15" xfId="0" applyNumberFormat="1" applyFill="1" applyBorder="1" applyAlignment="1">
      <alignment vertical="center"/>
    </xf>
    <xf numFmtId="8" fontId="0" fillId="5" borderId="35" xfId="0" applyNumberFormat="1" applyFill="1" applyBorder="1" applyAlignment="1">
      <alignment vertical="center"/>
    </xf>
    <xf numFmtId="8" fontId="0" fillId="4" borderId="36" xfId="0" applyNumberFormat="1" applyFill="1" applyBorder="1" applyAlignment="1">
      <alignment vertical="center"/>
    </xf>
    <xf numFmtId="8" fontId="0" fillId="4" borderId="37" xfId="0" applyNumberFormat="1" applyFill="1" applyBorder="1" applyAlignment="1">
      <alignment vertical="center"/>
    </xf>
    <xf numFmtId="8" fontId="0" fillId="0" borderId="36" xfId="0" applyNumberFormat="1" applyBorder="1" applyAlignment="1">
      <alignment vertical="center"/>
    </xf>
    <xf numFmtId="8" fontId="0" fillId="0" borderId="38" xfId="0" applyNumberFormat="1" applyBorder="1" applyAlignment="1">
      <alignment vertical="center"/>
    </xf>
    <xf numFmtId="8" fontId="0" fillId="3" borderId="39" xfId="0" applyNumberFormat="1" applyFill="1" applyBorder="1" applyAlignment="1">
      <alignment vertical="center"/>
    </xf>
    <xf numFmtId="8" fontId="0" fillId="3" borderId="40" xfId="0" applyNumberFormat="1" applyFill="1" applyBorder="1" applyAlignment="1">
      <alignment vertical="center"/>
    </xf>
    <xf numFmtId="8" fontId="2" fillId="3" borderId="17" xfId="0" applyNumberFormat="1" applyFont="1" applyFill="1" applyBorder="1" applyAlignment="1">
      <alignment vertical="center"/>
    </xf>
    <xf numFmtId="8" fontId="2" fillId="3" borderId="41" xfId="0" applyNumberFormat="1" applyFont="1" applyFill="1" applyBorder="1" applyAlignment="1">
      <alignment vertical="center"/>
    </xf>
    <xf numFmtId="8" fontId="2" fillId="3" borderId="42" xfId="0" applyNumberFormat="1" applyFont="1" applyFill="1" applyBorder="1" applyAlignment="1">
      <alignment vertical="center"/>
    </xf>
    <xf numFmtId="0" fontId="5" fillId="9" borderId="0" xfId="0" applyFont="1" applyFill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11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%20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Pivot"/>
      <sheetName val="15.7"/>
      <sheetName val="15.6"/>
      <sheetName val="15.5"/>
      <sheetName val="15.4"/>
      <sheetName val="15.3"/>
      <sheetName val="15.2"/>
      <sheetName val="15.1"/>
      <sheetName val="Sheet12"/>
      <sheetName val="AI"/>
      <sheetName val="MacroSam"/>
      <sheetName val="Sheet13"/>
      <sheetName val="NestedIF"/>
      <sheetName val="Products"/>
      <sheetName val="ConditionalFormat"/>
      <sheetName val="SalesByRegion"/>
      <sheetName val="Q and A in Excel Sheets"/>
      <sheetName val="14.1 ASCII"/>
      <sheetName val="Examp Table Layout for Circle "/>
      <sheetName val="Geometry Formulas for Exc and G"/>
      <sheetName val="Basic Trigonometric Functions "/>
      <sheetName val="13.10. Even Odd Color Game (wit"/>
      <sheetName val="13.9. Number Guessing Game (Sim"/>
      <sheetName val="13.8. GCD (MCD - Máximo Común D"/>
      <sheetName val="13.7. Power and Square"/>
      <sheetName val="PEMDAS"/>
      <sheetName val="13.6. Square Root Game"/>
      <sheetName val="13.5. Max, Min, Average Game"/>
      <sheetName val="13.4. Basic Arithmetic Practice"/>
      <sheetName val="13.3. Greater or Lower Game"/>
      <sheetName val="13.2. Odd and Even Numbers"/>
      <sheetName val="13.1. Fibonacci"/>
      <sheetName val="ASCCII"/>
      <sheetName val="11. Balloon Pop Game"/>
      <sheetName val="10. Countdown Timer"/>
      <sheetName val="9. Hangman (Simple)"/>
      <sheetName val="8. Memory Matching Game 2x4"/>
      <sheetName val="7. Sudoku (Mini 4x4)"/>
      <sheetName val="6. Word Scramble Game"/>
      <sheetName val="5. Memory Game (Matching Pairs)"/>
      <sheetName val="4. Rock, Paper, Scissors"/>
      <sheetName val="3. Quiz Game Trivia"/>
      <sheetName val="2. Number Guessing Game"/>
      <sheetName val="1. Tic-Tac-Toe"/>
      <sheetName val="To Do List"/>
      <sheetName val="Filter"/>
      <sheetName val="List of countries and territori"/>
      <sheetName val="Import Table to Excel"/>
      <sheetName val="Summary Sheet"/>
      <sheetName val="Assigned Tickets to SuportTeam"/>
      <sheetName val="Summary Sheet other"/>
      <sheetName val="Summary Sheet (2)"/>
      <sheetName val="Assigned Tickets to CAS-OBS (3)"/>
      <sheetName val="EmployeeList"/>
      <sheetName val="Images and formatted tables"/>
      <sheetName val="Customers"/>
      <sheetName val="Functions"/>
      <sheetName val="Dice_No_button"/>
      <sheetName val="Roll_Dice"/>
      <sheetName val="Menu"/>
      <sheetName val="Receipt"/>
      <sheetName val="Timesheet"/>
      <sheetName val="InvoiceSummary"/>
      <sheetName val="Customer Info CollectionTimesta"/>
      <sheetName val="Restaurant Feedback FormTimesta"/>
      <sheetName val="Conditional format"/>
      <sheetName val="Sheet10"/>
      <sheetName val="Cheatsheets ExcelSheets"/>
      <sheetName val="Sheet9"/>
      <sheetName val="Sheet14"/>
      <sheetName val="Sheet8"/>
      <sheetName val="P9"/>
      <sheetName val="P6"/>
      <sheetName val="P5"/>
      <sheetName val="P4 (2)"/>
      <sheetName val="P4"/>
      <sheetName val="P3"/>
      <sheetName val="P2"/>
      <sheetName val="Practice1"/>
      <sheetName val="P1"/>
      <sheetName val="Student Scores"/>
      <sheetName val="Sheet5"/>
      <sheetName val="March"/>
      <sheetName val="January"/>
      <sheetName val="Sheet11"/>
      <sheetName val="QR Code"/>
      <sheetName val="Scenario Summary"/>
      <sheetName val="What-If Analysis"/>
      <sheetName val="FORECAST.LINEAR"/>
      <sheetName val="Staff Directory"/>
      <sheetName val="NPV"/>
      <sheetName val="SUMIF "/>
      <sheetName val="TEAMO"/>
      <sheetName val="PTM"/>
      <sheetName val="Net Present Value (NPV)"/>
      <sheetName val="Compound"/>
      <sheetName val="Febrary"/>
      <sheetName val="January (2)"/>
      <sheetName val="February"/>
      <sheetName val="Sheet6"/>
      <sheetName val="Sheet3"/>
      <sheetName val="MMESS"/>
      <sheetName val="My Monthly ExpSav&amp;Salary"/>
      <sheetName val="Orders"/>
      <sheetName val="Sheet1"/>
      <sheetName val="Sheet2"/>
      <sheetName val="Sheet4"/>
      <sheetName val="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2">
          <cell r="B2">
            <v>3962</v>
          </cell>
          <cell r="G2">
            <v>337</v>
          </cell>
        </row>
        <row r="3">
          <cell r="G3">
            <v>235</v>
          </cell>
        </row>
        <row r="4">
          <cell r="G4">
            <v>182</v>
          </cell>
        </row>
        <row r="5">
          <cell r="G5">
            <v>194</v>
          </cell>
        </row>
        <row r="6">
          <cell r="G6">
            <v>33</v>
          </cell>
        </row>
        <row r="7">
          <cell r="G7">
            <v>131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onlyafewpages.com/" TargetMode="External"/><Relationship Id="rId1" Type="http://schemas.openxmlformats.org/officeDocument/2006/relationships/hyperlink" Target="mailto:info@inonlyafewpag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25"/>
  <sheetViews>
    <sheetView tabSelected="1" workbookViewId="0">
      <selection activeCell="M39" sqref="M39"/>
    </sheetView>
  </sheetViews>
  <sheetFormatPr defaultRowHeight="14.5" x14ac:dyDescent="0.35"/>
  <cols>
    <col min="1" max="1" width="30.54296875" customWidth="1"/>
    <col min="2" max="2" width="14" style="1" customWidth="1"/>
    <col min="3" max="13" width="10.54296875" style="1" bestFit="1" customWidth="1"/>
  </cols>
  <sheetData>
    <row r="1" spans="1:13" ht="21.5" thickBot="1" x14ac:dyDescent="0.55000000000000004">
      <c r="A1" s="69" t="s">
        <v>33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5" thickBot="1" x14ac:dyDescent="0.4">
      <c r="A2" s="38" t="s">
        <v>32</v>
      </c>
      <c r="B2" s="44">
        <f>B19+B20</f>
        <v>4400</v>
      </c>
      <c r="C2" s="45">
        <f>C19+C20</f>
        <v>4400</v>
      </c>
      <c r="D2" s="45">
        <f>D19+D20</f>
        <v>4400</v>
      </c>
      <c r="E2" s="45">
        <f>E19+E20</f>
        <v>4400</v>
      </c>
      <c r="F2" s="45">
        <f>F19+F20</f>
        <v>4400</v>
      </c>
      <c r="G2" s="45">
        <f>G19+G20</f>
        <v>4400</v>
      </c>
      <c r="H2" s="45">
        <f>H19+H20</f>
        <v>4400</v>
      </c>
      <c r="I2" s="45">
        <f>I19+I20</f>
        <v>4400</v>
      </c>
      <c r="J2" s="45">
        <f>J19+J20</f>
        <v>4400</v>
      </c>
      <c r="K2" s="45">
        <f>K19+K20</f>
        <v>4400</v>
      </c>
      <c r="L2" s="45">
        <f>L19+L20</f>
        <v>4400</v>
      </c>
      <c r="M2" s="46">
        <f>M19+M20</f>
        <v>4400</v>
      </c>
    </row>
    <row r="3" spans="1:13" ht="26" x14ac:dyDescent="0.6">
      <c r="A3" s="39"/>
      <c r="B3" s="47" t="s">
        <v>31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48"/>
    </row>
    <row r="4" spans="1:13" ht="17" x14ac:dyDescent="0.35">
      <c r="A4" s="39"/>
      <c r="B4" s="49" t="s">
        <v>30</v>
      </c>
      <c r="C4" s="12" t="s">
        <v>29</v>
      </c>
      <c r="D4" s="12" t="s">
        <v>28</v>
      </c>
      <c r="E4" s="12" t="s">
        <v>27</v>
      </c>
      <c r="F4" s="12" t="s">
        <v>26</v>
      </c>
      <c r="G4" s="12" t="s">
        <v>25</v>
      </c>
      <c r="H4" s="12" t="s">
        <v>24</v>
      </c>
      <c r="I4" s="12" t="s">
        <v>23</v>
      </c>
      <c r="J4" s="12" t="s">
        <v>22</v>
      </c>
      <c r="K4" s="12" t="s">
        <v>21</v>
      </c>
      <c r="L4" s="12" t="s">
        <v>20</v>
      </c>
      <c r="M4" s="50" t="s">
        <v>19</v>
      </c>
    </row>
    <row r="5" spans="1:13" x14ac:dyDescent="0.35">
      <c r="A5" s="40" t="s">
        <v>18</v>
      </c>
      <c r="B5" s="51">
        <v>-3000</v>
      </c>
      <c r="C5" s="8">
        <v>-3000</v>
      </c>
      <c r="D5" s="8">
        <v>-3000</v>
      </c>
      <c r="E5" s="8">
        <v>-3000</v>
      </c>
      <c r="F5" s="8">
        <v>-3000</v>
      </c>
      <c r="G5" s="8">
        <v>-3000</v>
      </c>
      <c r="H5" s="8">
        <v>-3000</v>
      </c>
      <c r="I5" s="8">
        <v>-3000</v>
      </c>
      <c r="J5" s="8">
        <v>-3000</v>
      </c>
      <c r="K5" s="8">
        <v>-3000</v>
      </c>
      <c r="L5" s="8">
        <v>-3000</v>
      </c>
      <c r="M5" s="52">
        <v>-3000</v>
      </c>
    </row>
    <row r="6" spans="1:13" x14ac:dyDescent="0.35">
      <c r="A6" s="40" t="s">
        <v>17</v>
      </c>
      <c r="B6" s="53">
        <v>-400</v>
      </c>
      <c r="C6" s="11">
        <v>-400</v>
      </c>
      <c r="D6" s="11">
        <v>-400</v>
      </c>
      <c r="E6" s="11">
        <v>-400</v>
      </c>
      <c r="F6" s="11">
        <v>-400</v>
      </c>
      <c r="G6" s="11">
        <v>-400</v>
      </c>
      <c r="H6" s="11">
        <v>-400</v>
      </c>
      <c r="I6" s="11">
        <v>-400</v>
      </c>
      <c r="J6" s="11">
        <v>-400</v>
      </c>
      <c r="K6" s="11">
        <v>-400</v>
      </c>
      <c r="L6" s="11">
        <v>-400</v>
      </c>
      <c r="M6" s="54">
        <v>-400</v>
      </c>
    </row>
    <row r="7" spans="1:13" x14ac:dyDescent="0.35">
      <c r="A7" s="40" t="s">
        <v>16</v>
      </c>
      <c r="B7" s="51">
        <v>-53.25</v>
      </c>
      <c r="C7" s="10">
        <v>-97.9</v>
      </c>
      <c r="D7" s="10">
        <v>-51.73</v>
      </c>
      <c r="E7" s="10">
        <v>-58.08</v>
      </c>
      <c r="F7" s="10">
        <v>-60.7</v>
      </c>
      <c r="G7" s="10">
        <v>-97.9</v>
      </c>
      <c r="H7" s="10">
        <v>-77.34</v>
      </c>
      <c r="I7" s="10">
        <v>-77.3</v>
      </c>
      <c r="J7" s="10">
        <v>-76.290000000000006</v>
      </c>
      <c r="K7" s="10">
        <v>-72.33</v>
      </c>
      <c r="L7" s="10">
        <v>-56.62</v>
      </c>
      <c r="M7" s="55">
        <v>-74.150000000000006</v>
      </c>
    </row>
    <row r="8" spans="1:13" x14ac:dyDescent="0.35">
      <c r="A8" s="40" t="s">
        <v>15</v>
      </c>
      <c r="B8" s="51">
        <v>-144</v>
      </c>
      <c r="C8" s="8">
        <v>-144</v>
      </c>
      <c r="D8" s="8">
        <v>-144</v>
      </c>
      <c r="E8" s="8">
        <v>-144</v>
      </c>
      <c r="F8" s="8">
        <v>-144</v>
      </c>
      <c r="G8" s="8">
        <v>-144</v>
      </c>
      <c r="H8" s="8">
        <v>-144</v>
      </c>
      <c r="I8" s="8">
        <v>-144</v>
      </c>
      <c r="J8" s="8">
        <v>-144</v>
      </c>
      <c r="K8" s="8">
        <v>-144</v>
      </c>
      <c r="L8" s="8">
        <v>-144</v>
      </c>
      <c r="M8" s="52">
        <v>-144</v>
      </c>
    </row>
    <row r="9" spans="1:13" x14ac:dyDescent="0.35">
      <c r="A9" s="40" t="s">
        <v>14</v>
      </c>
      <c r="B9" s="51">
        <v>-132</v>
      </c>
      <c r="C9" s="8">
        <v>-132</v>
      </c>
      <c r="D9" s="8">
        <v>-132</v>
      </c>
      <c r="E9" s="8">
        <v>-132</v>
      </c>
      <c r="F9" s="8">
        <v>-132</v>
      </c>
      <c r="G9" s="8">
        <v>-132</v>
      </c>
      <c r="H9" s="8">
        <v>-132</v>
      </c>
      <c r="I9" s="8">
        <v>-132</v>
      </c>
      <c r="J9" s="8">
        <v>-132</v>
      </c>
      <c r="K9" s="8">
        <v>-132</v>
      </c>
      <c r="L9" s="8">
        <v>-132</v>
      </c>
      <c r="M9" s="52">
        <v>-132</v>
      </c>
    </row>
    <row r="10" spans="1:13" x14ac:dyDescent="0.35">
      <c r="A10" s="40" t="s">
        <v>13</v>
      </c>
      <c r="B10" s="51">
        <v>0</v>
      </c>
      <c r="C10" s="10">
        <v>0</v>
      </c>
      <c r="D10" s="10">
        <v>0</v>
      </c>
      <c r="E10" s="10">
        <v>0</v>
      </c>
      <c r="F10" s="10">
        <v>0</v>
      </c>
      <c r="G10" s="10">
        <v>-200</v>
      </c>
      <c r="H10" s="10">
        <v>-180</v>
      </c>
      <c r="I10" s="10">
        <v>0</v>
      </c>
      <c r="J10" s="10">
        <v>-18.440000000000001</v>
      </c>
      <c r="K10" s="10">
        <v>-117.01</v>
      </c>
      <c r="L10" s="10"/>
      <c r="M10" s="55">
        <v>0</v>
      </c>
    </row>
    <row r="11" spans="1:13" x14ac:dyDescent="0.35">
      <c r="A11" s="40" t="s">
        <v>12</v>
      </c>
      <c r="B11" s="56">
        <f>SUM(B22:B24)</f>
        <v>-660</v>
      </c>
      <c r="C11" s="9">
        <f>SUM(C22:C24)</f>
        <v>-503</v>
      </c>
      <c r="D11" s="9">
        <f>SUM(D22:D24)</f>
        <v>-493</v>
      </c>
      <c r="E11" s="9">
        <f>SUM(E22:E24)</f>
        <v>-503</v>
      </c>
      <c r="F11" s="9">
        <f>SUM(F22:F24)</f>
        <v>-497</v>
      </c>
      <c r="G11" s="9">
        <f>SUM(G22:G24)</f>
        <v>-507</v>
      </c>
      <c r="H11" s="9">
        <f>SUM(H22:H24)</f>
        <v>-500</v>
      </c>
      <c r="I11" s="9">
        <f>SUM(I22:I24)</f>
        <v>-660</v>
      </c>
      <c r="J11" s="9">
        <f>SUM(J22:J24)</f>
        <v>-506</v>
      </c>
      <c r="K11" s="9">
        <f>SUM(K22:K24)</f>
        <v>-495</v>
      </c>
      <c r="L11" s="9">
        <f>SUM(L22:L24)</f>
        <v>-566</v>
      </c>
      <c r="M11" s="57">
        <f>SUM(M22:M24)</f>
        <v>-536</v>
      </c>
    </row>
    <row r="12" spans="1:13" x14ac:dyDescent="0.35">
      <c r="A12" s="40" t="s">
        <v>11</v>
      </c>
      <c r="B12" s="51">
        <v>-137.86000000000001</v>
      </c>
      <c r="C12" s="8">
        <v>-137.86000000000001</v>
      </c>
      <c r="D12" s="8">
        <v>-137.86000000000001</v>
      </c>
      <c r="E12" s="8">
        <v>-137.86000000000001</v>
      </c>
      <c r="F12" s="8">
        <v>-137.86000000000001</v>
      </c>
      <c r="G12" s="8">
        <v>-137.86000000000001</v>
      </c>
      <c r="H12" s="8">
        <v>-137.86000000000001</v>
      </c>
      <c r="I12" s="8">
        <v>-137.86000000000001</v>
      </c>
      <c r="J12" s="8">
        <v>-137.86000000000001</v>
      </c>
      <c r="K12" s="8">
        <v>-137.86000000000001</v>
      </c>
      <c r="L12" s="8">
        <v>-137.86000000000001</v>
      </c>
      <c r="M12" s="52">
        <v>-137.86000000000001</v>
      </c>
    </row>
    <row r="13" spans="1:13" x14ac:dyDescent="0.35">
      <c r="A13" s="40" t="s">
        <v>10</v>
      </c>
      <c r="B13" s="58">
        <v>-1660</v>
      </c>
      <c r="C13" s="7">
        <v>-440</v>
      </c>
      <c r="D13" s="7">
        <v>-440</v>
      </c>
      <c r="E13" s="7">
        <v>-440</v>
      </c>
      <c r="F13" s="7">
        <v>-440</v>
      </c>
      <c r="G13" s="7">
        <v>-440</v>
      </c>
      <c r="H13" s="7">
        <v>-440</v>
      </c>
      <c r="I13" s="7">
        <v>-1870</v>
      </c>
      <c r="J13" s="7">
        <v>-440</v>
      </c>
      <c r="K13" s="7">
        <v>-440</v>
      </c>
      <c r="L13" s="7">
        <v>-1000</v>
      </c>
      <c r="M13" s="59">
        <v>-440</v>
      </c>
    </row>
    <row r="14" spans="1:13" x14ac:dyDescent="0.35">
      <c r="A14" s="40" t="s">
        <v>9</v>
      </c>
      <c r="B14" s="60">
        <v>-200</v>
      </c>
      <c r="C14" s="6">
        <v>-20</v>
      </c>
      <c r="D14" s="6">
        <v>-120</v>
      </c>
      <c r="E14" s="6">
        <v>-100</v>
      </c>
      <c r="F14" s="6">
        <v>-100</v>
      </c>
      <c r="G14" s="6">
        <v>-100</v>
      </c>
      <c r="H14" s="6">
        <v>-100</v>
      </c>
      <c r="I14" s="6">
        <v>-50</v>
      </c>
      <c r="J14" s="6">
        <v>-100</v>
      </c>
      <c r="K14" s="6">
        <v>-150</v>
      </c>
      <c r="L14" s="6">
        <v>-100</v>
      </c>
      <c r="M14" s="61">
        <v>-100</v>
      </c>
    </row>
    <row r="15" spans="1:13" ht="15" thickBot="1" x14ac:dyDescent="0.4">
      <c r="A15" s="41" t="s">
        <v>8</v>
      </c>
      <c r="B15" s="62">
        <v>0</v>
      </c>
      <c r="C15" s="5">
        <v>-127.74</v>
      </c>
      <c r="D15" s="5">
        <v>-26.37</v>
      </c>
      <c r="E15" s="5">
        <v>-50</v>
      </c>
      <c r="F15" s="5">
        <v>0</v>
      </c>
      <c r="G15" s="5">
        <v>-30</v>
      </c>
      <c r="H15" s="5">
        <v>0</v>
      </c>
      <c r="I15" s="5">
        <v>-18</v>
      </c>
      <c r="J15" s="5">
        <v>0</v>
      </c>
      <c r="K15" s="5">
        <v>-24.52</v>
      </c>
      <c r="L15" s="5">
        <v>-63.77</v>
      </c>
      <c r="M15" s="63">
        <v>-450</v>
      </c>
    </row>
    <row r="16" spans="1:13" ht="15" thickBot="1" x14ac:dyDescent="0.4">
      <c r="A16" s="42" t="s">
        <v>7</v>
      </c>
      <c r="B16" s="64">
        <f>SUM(B5:B15)</f>
        <v>-6387.11</v>
      </c>
      <c r="C16" s="4">
        <f>SUM(C5:C15)</f>
        <v>-5002.4999999999991</v>
      </c>
      <c r="D16" s="4">
        <f>SUM(D5:D15)</f>
        <v>-4944.9599999999991</v>
      </c>
      <c r="E16" s="4">
        <f>SUM(E5:E15)</f>
        <v>-4964.9399999999996</v>
      </c>
      <c r="F16" s="4">
        <f>SUM(F5:F15)</f>
        <v>-4911.5599999999995</v>
      </c>
      <c r="G16" s="4">
        <f>SUM(G5:G15)</f>
        <v>-5188.7599999999993</v>
      </c>
      <c r="H16" s="4">
        <f>SUM(H5:H15)</f>
        <v>-5111.2</v>
      </c>
      <c r="I16" s="4">
        <f>SUM(I5:I15)</f>
        <v>-6489.16</v>
      </c>
      <c r="J16" s="4">
        <f>SUM(J5:J15)</f>
        <v>-4954.5899999999992</v>
      </c>
      <c r="K16" s="4">
        <f>SUM(K5:K15)</f>
        <v>-5112.72</v>
      </c>
      <c r="L16" s="4">
        <f>SUM(L5:L15)</f>
        <v>-5600.25</v>
      </c>
      <c r="M16" s="65">
        <f>SUM(M5:M15)</f>
        <v>-5414.0099999999993</v>
      </c>
    </row>
    <row r="17" spans="1:13" ht="29.5" thickBot="1" x14ac:dyDescent="0.4">
      <c r="A17" s="43" t="s">
        <v>6</v>
      </c>
      <c r="B17" s="66">
        <f>B2+B16+B25</f>
        <v>212.89000000000033</v>
      </c>
      <c r="C17" s="67">
        <f>C2+C16+C25</f>
        <v>22.930000000000859</v>
      </c>
      <c r="D17" s="67">
        <f>D2+D16+D25</f>
        <v>-14.959999999999127</v>
      </c>
      <c r="E17" s="67">
        <f>E2+E16+E25</f>
        <v>61.840000000000373</v>
      </c>
      <c r="F17" s="67">
        <f>F2+F16+F25</f>
        <v>51.580000000000496</v>
      </c>
      <c r="G17" s="67">
        <f>G2+G16+G25</f>
        <v>-119.61999999999932</v>
      </c>
      <c r="H17" s="67">
        <f>H2+H16+H25</f>
        <v>-117.94999999999982</v>
      </c>
      <c r="I17" s="67">
        <f>I2+I16+I25</f>
        <v>110.84000000000015</v>
      </c>
      <c r="J17" s="67">
        <f>J2+J16+J25</f>
        <v>98.360000000000809</v>
      </c>
      <c r="K17" s="67">
        <f>K2+K16+K25</f>
        <v>-169.86000000000024</v>
      </c>
      <c r="L17" s="67">
        <f>L2+L16+L25</f>
        <v>55.430000000000064</v>
      </c>
      <c r="M17" s="68">
        <f>M2+M16+M25</f>
        <v>-56.369999999999322</v>
      </c>
    </row>
    <row r="18" spans="1:13" ht="15" thickBot="1" x14ac:dyDescent="0.4">
      <c r="A18" s="14"/>
      <c r="B18"/>
    </row>
    <row r="19" spans="1:13" ht="15" thickBot="1" x14ac:dyDescent="0.4">
      <c r="A19" s="15" t="s">
        <v>5</v>
      </c>
      <c r="B19" s="32">
        <v>2200</v>
      </c>
      <c r="C19" s="33">
        <v>2200</v>
      </c>
      <c r="D19" s="33">
        <v>2200</v>
      </c>
      <c r="E19" s="33">
        <v>2200</v>
      </c>
      <c r="F19" s="33">
        <v>2200</v>
      </c>
      <c r="G19" s="33">
        <v>2200</v>
      </c>
      <c r="H19" s="33">
        <v>2200</v>
      </c>
      <c r="I19" s="33">
        <v>2200</v>
      </c>
      <c r="J19" s="33">
        <v>2200</v>
      </c>
      <c r="K19" s="33">
        <v>2200</v>
      </c>
      <c r="L19" s="33">
        <v>2200</v>
      </c>
      <c r="M19" s="34">
        <v>2200</v>
      </c>
    </row>
    <row r="20" spans="1:13" ht="15" thickBot="1" x14ac:dyDescent="0.4">
      <c r="A20" s="16" t="s">
        <v>4</v>
      </c>
      <c r="B20" s="35">
        <v>2200</v>
      </c>
      <c r="C20" s="36">
        <v>2200</v>
      </c>
      <c r="D20" s="36">
        <v>2200</v>
      </c>
      <c r="E20" s="36">
        <v>2200</v>
      </c>
      <c r="F20" s="36">
        <v>2200</v>
      </c>
      <c r="G20" s="36">
        <v>2200</v>
      </c>
      <c r="H20" s="36">
        <v>2200</v>
      </c>
      <c r="I20" s="36">
        <v>2200</v>
      </c>
      <c r="J20" s="36">
        <v>2200</v>
      </c>
      <c r="K20" s="36">
        <v>2200</v>
      </c>
      <c r="L20" s="36">
        <v>2200</v>
      </c>
      <c r="M20" s="37">
        <v>2200</v>
      </c>
    </row>
    <row r="21" spans="1:13" ht="15" thickBot="1" x14ac:dyDescent="0.4">
      <c r="A21" s="14"/>
      <c r="B21"/>
    </row>
    <row r="22" spans="1:13" x14ac:dyDescent="0.35">
      <c r="A22" s="17" t="s">
        <v>3</v>
      </c>
      <c r="B22" s="18">
        <f>ROUND((B19 * 0.1) * -1, 0)</f>
        <v>-220</v>
      </c>
      <c r="C22" s="19">
        <f>ROUND((C19 * 0.1) * -1, 0)</f>
        <v>-220</v>
      </c>
      <c r="D22" s="19">
        <f>ROUND((D19 * 0.1) * -1, 0)</f>
        <v>-220</v>
      </c>
      <c r="E22" s="19">
        <f>ROUND((E19 * 0.1) * -1, 0)</f>
        <v>-220</v>
      </c>
      <c r="F22" s="19">
        <f>ROUND((F19 * 0.1) * -1, 0)</f>
        <v>-220</v>
      </c>
      <c r="G22" s="19">
        <f>ROUND((G19 * 0.1) * -1, 0)</f>
        <v>-220</v>
      </c>
      <c r="H22" s="19">
        <f>ROUND((H19 * 0.1) * -1, 0)</f>
        <v>-220</v>
      </c>
      <c r="I22" s="19">
        <f>ROUND((I19 * 0.1) * -1, 0)</f>
        <v>-220</v>
      </c>
      <c r="J22" s="19">
        <f>ROUND((J19 * 0.1) * -1, 0)</f>
        <v>-220</v>
      </c>
      <c r="K22" s="19">
        <f>ROUND((K19 * 0.1) * -1, 0)</f>
        <v>-220</v>
      </c>
      <c r="L22" s="19">
        <f>ROUND((L19 * 0.1) * -1, 0)</f>
        <v>-220</v>
      </c>
      <c r="M22" s="20">
        <f>ROUND((M19 * 0.1) * -1, 0)</f>
        <v>-220</v>
      </c>
    </row>
    <row r="23" spans="1:13" x14ac:dyDescent="0.35">
      <c r="A23" s="21" t="s">
        <v>2</v>
      </c>
      <c r="B23" s="3">
        <f>ROUND((B20 * 0.1) * -1, 0)</f>
        <v>-220</v>
      </c>
      <c r="C23" s="2">
        <f>ROUND((C20 * 0.1) * -1, 0)</f>
        <v>-220</v>
      </c>
      <c r="D23" s="2">
        <f>ROUND((D20 * 0.1) * -1, 0)</f>
        <v>-220</v>
      </c>
      <c r="E23" s="2">
        <f>ROUND((E20 * 0.1) * -1, 0)</f>
        <v>-220</v>
      </c>
      <c r="F23" s="2">
        <f>ROUND((F20 * 0.1) * -1, 0)</f>
        <v>-220</v>
      </c>
      <c r="G23" s="2">
        <f>ROUND((G20 * 0.1) * -1, 0)</f>
        <v>-220</v>
      </c>
      <c r="H23" s="2">
        <f>ROUND((H20 * 0.1) * -1, 0)</f>
        <v>-220</v>
      </c>
      <c r="I23" s="2">
        <f>ROUND((I20 * 0.1) * -1, 0)</f>
        <v>-220</v>
      </c>
      <c r="J23" s="2">
        <f>ROUND((J20 * 0.1) * -1, 0)</f>
        <v>-220</v>
      </c>
      <c r="K23" s="2">
        <f>ROUND((K20 * 0.1) * -1, 0)</f>
        <v>-220</v>
      </c>
      <c r="L23" s="2">
        <f>ROUND((L20 * 0.1) * -1, 0)</f>
        <v>-220</v>
      </c>
      <c r="M23" s="22">
        <f>ROUND((M20 * 0.1) * -1, 0)</f>
        <v>-220</v>
      </c>
    </row>
    <row r="24" spans="1:13" ht="16.5" customHeight="1" thickBot="1" x14ac:dyDescent="0.4">
      <c r="A24" s="23" t="s">
        <v>1</v>
      </c>
      <c r="B24" s="24">
        <f>-ROUNDUP(B25 * 0.1, 0)</f>
        <v>-220</v>
      </c>
      <c r="C24" s="25">
        <f>-ROUNDUP(C25 * 0.1, 0)</f>
        <v>-63</v>
      </c>
      <c r="D24" s="25">
        <f>-ROUNDUP(D25 * 0.1, 0)</f>
        <v>-53</v>
      </c>
      <c r="E24" s="25">
        <f>-ROUNDUP(E25 * 0.1, 0)</f>
        <v>-63</v>
      </c>
      <c r="F24" s="25">
        <f>-ROUNDUP(F25 * 0.1, 0)</f>
        <v>-57</v>
      </c>
      <c r="G24" s="25">
        <f>-ROUNDUP(G25 * 0.1, 0)</f>
        <v>-67</v>
      </c>
      <c r="H24" s="25">
        <f>-ROUNDUP(H25 * 0.1, 0)</f>
        <v>-60</v>
      </c>
      <c r="I24" s="25">
        <f>-ROUNDUP(I25 * 0.1, 0)</f>
        <v>-220</v>
      </c>
      <c r="J24" s="25">
        <f>-ROUNDUP(J25 * 0.1, 0)</f>
        <v>-66</v>
      </c>
      <c r="K24" s="25">
        <f>-ROUNDUP(K25 * 0.1, 0)</f>
        <v>-55</v>
      </c>
      <c r="L24" s="25">
        <f>-ROUNDUP(L25 * 0.1, 0)</f>
        <v>-126</v>
      </c>
      <c r="M24" s="26">
        <f>-ROUNDUP(M25 * 0.1, 0)</f>
        <v>-96</v>
      </c>
    </row>
    <row r="25" spans="1:13" ht="48" customHeight="1" thickBot="1" x14ac:dyDescent="0.4">
      <c r="A25" s="27" t="s">
        <v>0</v>
      </c>
      <c r="B25" s="28">
        <v>2200</v>
      </c>
      <c r="C25" s="29">
        <v>625.42999999999995</v>
      </c>
      <c r="D25" s="29">
        <v>530</v>
      </c>
      <c r="E25" s="29">
        <v>626.78</v>
      </c>
      <c r="F25" s="29">
        <v>563.14</v>
      </c>
      <c r="G25" s="29">
        <v>669.14</v>
      </c>
      <c r="H25" s="29">
        <v>593.25</v>
      </c>
      <c r="I25" s="30">
        <v>2200</v>
      </c>
      <c r="J25" s="29">
        <v>652.95000000000005</v>
      </c>
      <c r="K25" s="29">
        <v>542.86</v>
      </c>
      <c r="L25" s="29">
        <v>1255.68</v>
      </c>
      <c r="M25" s="31">
        <v>957.64</v>
      </c>
    </row>
  </sheetData>
  <mergeCells count="2">
    <mergeCell ref="B3:M3"/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16"/>
  <sheetViews>
    <sheetView showGridLines="0" workbookViewId="0">
      <selection activeCell="B4" sqref="B4:R18"/>
    </sheetView>
  </sheetViews>
  <sheetFormatPr defaultRowHeight="14.5" x14ac:dyDescent="0.35"/>
  <cols>
    <col min="9" max="9" width="4.1796875" customWidth="1"/>
    <col min="10" max="10" width="7.7265625" customWidth="1"/>
  </cols>
  <sheetData>
    <row r="4" spans="2:15" ht="21.5" x14ac:dyDescent="0.5">
      <c r="B4" s="70" t="s">
        <v>36</v>
      </c>
    </row>
    <row r="5" spans="2:15" ht="21.5" x14ac:dyDescent="0.5">
      <c r="B5" s="70"/>
    </row>
    <row r="6" spans="2:15" ht="21.5" x14ac:dyDescent="0.5">
      <c r="B6" s="71" t="s">
        <v>37</v>
      </c>
    </row>
    <row r="7" spans="2:15" ht="21.5" x14ac:dyDescent="0.5">
      <c r="B7" s="70" t="s">
        <v>38</v>
      </c>
    </row>
    <row r="8" spans="2:15" ht="21.5" x14ac:dyDescent="0.5">
      <c r="B8" s="70"/>
    </row>
    <row r="9" spans="2:15" ht="21.5" x14ac:dyDescent="0.5">
      <c r="B9" s="70" t="s">
        <v>34</v>
      </c>
    </row>
    <row r="10" spans="2:15" ht="21.5" x14ac:dyDescent="0.5">
      <c r="B10" s="70"/>
    </row>
    <row r="11" spans="2:15" ht="21.5" x14ac:dyDescent="0.5">
      <c r="B11" s="70" t="s">
        <v>35</v>
      </c>
    </row>
    <row r="13" spans="2:15" ht="21.5" x14ac:dyDescent="0.5">
      <c r="B13" s="70" t="s">
        <v>39</v>
      </c>
      <c r="K13" s="72" t="s">
        <v>41</v>
      </c>
      <c r="L13" s="72"/>
      <c r="M13" s="72"/>
      <c r="N13" s="72"/>
    </row>
    <row r="15" spans="2:15" ht="21.5" x14ac:dyDescent="0.5">
      <c r="B15" s="70" t="s">
        <v>40</v>
      </c>
      <c r="J15" s="72" t="s">
        <v>42</v>
      </c>
      <c r="K15" s="72"/>
      <c r="L15" s="72"/>
      <c r="M15" s="72"/>
      <c r="N15" s="72"/>
      <c r="O15" s="72"/>
    </row>
    <row r="16" spans="2:15" ht="21.5" x14ac:dyDescent="0.5">
      <c r="B16" s="70" t="s">
        <v>43</v>
      </c>
    </row>
  </sheetData>
  <mergeCells count="2">
    <mergeCell ref="K13:N13"/>
    <mergeCell ref="J15:O15"/>
  </mergeCells>
  <hyperlinks>
    <hyperlink ref="K13" r:id="rId1" display="mailto:info@inonlyafewpages.com"/>
    <hyperlink ref="J1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MonthlyExppenses&amp;Savings</vt:lpstr>
      <vt:lpstr>README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Mayol</dc:creator>
  <cp:lastModifiedBy>Samuel Mayol</cp:lastModifiedBy>
  <dcterms:created xsi:type="dcterms:W3CDTF">2026-04-21T20:09:53Z</dcterms:created>
  <dcterms:modified xsi:type="dcterms:W3CDTF">2026-04-21T20:41:08Z</dcterms:modified>
</cp:coreProperties>
</file>